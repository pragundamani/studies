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des!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<sst xmlns="http://schemas.openxmlformats.org/spreadsheetml/2006/main" count="59" uniqueCount="53">
  <si>
    <t xml:space="preserve">Insert grades as a percentage, e.g. 93 for a grade of 93/100 or 9.3/10</t>
  </si>
  <si>
    <t xml:space="preserve">WebAssign</t>
  </si>
  <si>
    <t xml:space="preserve">worst case</t>
  </si>
  <si>
    <t xml:space="preserve">on track</t>
  </si>
  <si>
    <t xml:space="preserve">best case</t>
  </si>
  <si>
    <t xml:space="preserve">Enter grades in the highlighted cells.  For assignments which are past due, enter a 0 if you did not submit anything.</t>
  </si>
  <si>
    <t xml:space="preserve">Problem Sets</t>
  </si>
  <si>
    <t xml:space="preserve">Review of prerequisites</t>
  </si>
  <si>
    <t xml:space="preserve">PS0</t>
  </si>
  <si>
    <t xml:space="preserve">NA</t>
  </si>
  <si>
    <t xml:space="preserve">5.3-4 FTC and net change</t>
  </si>
  <si>
    <t xml:space="preserve">PS1</t>
  </si>
  <si>
    <t xml:space="preserve">5.5 The Substitution Rule</t>
  </si>
  <si>
    <t xml:space="preserve">PS2</t>
  </si>
  <si>
    <t xml:space="preserve">7.1 Integration by Parts</t>
  </si>
  <si>
    <t xml:space="preserve">PS3</t>
  </si>
  <si>
    <t xml:space="preserve">7.2 Trigonometric Integrals</t>
  </si>
  <si>
    <t xml:space="preserve">PS4</t>
  </si>
  <si>
    <t xml:space="preserve">7.3 Trigonometric Substitution</t>
  </si>
  <si>
    <t xml:space="preserve">PS5</t>
  </si>
  <si>
    <t xml:space="preserve">7.4 Partial Fractions</t>
  </si>
  <si>
    <t xml:space="preserve">7.7 Numerical Integration</t>
  </si>
  <si>
    <t xml:space="preserve">7.8 Improper Integrals</t>
  </si>
  <si>
    <t xml:space="preserve">6.1 Area betwixt curves</t>
  </si>
  <si>
    <t xml:space="preserve">6.2 Volumes of bodies w prescribed cross-section</t>
  </si>
  <si>
    <t xml:space="preserve">6.3 Solids of Revolution</t>
  </si>
  <si>
    <t xml:space="preserve">8.1 Arclength</t>
  </si>
  <si>
    <t xml:space="preserve">9.1 Modeling with Differential Equations</t>
  </si>
  <si>
    <t xml:space="preserve">9.2-4 Separable Equations</t>
  </si>
  <si>
    <t xml:space="preserve">11.1a Introduction to Sequences</t>
  </si>
  <si>
    <t xml:space="preserve">11.1b more Sequences</t>
  </si>
  <si>
    <t xml:space="preserve">11.2 Series</t>
  </si>
  <si>
    <t xml:space="preserve">11.3 The Integral Test</t>
  </si>
  <si>
    <t xml:space="preserve">11.4 The Comparison Tests</t>
  </si>
  <si>
    <t xml:space="preserve">Exams</t>
  </si>
  <si>
    <t xml:space="preserve">11.5 Alternating Series</t>
  </si>
  <si>
    <t xml:space="preserve">Midterm 1</t>
  </si>
  <si>
    <t xml:space="preserve">11.6 Absolute Convergence &amp; Ratio and Root Tests</t>
  </si>
  <si>
    <t xml:space="preserve">Midterm 2</t>
  </si>
  <si>
    <t xml:space="preserve">11.7 Strategy for Testing Series (1 Attempt Each!)</t>
  </si>
  <si>
    <t xml:space="preserve">Final Exam</t>
  </si>
  <si>
    <t xml:space="preserve">11.8-9 Power Series</t>
  </si>
  <si>
    <t xml:space="preserve">11.10 Taylor &amp; Maclaurin Series</t>
  </si>
  <si>
    <t xml:space="preserve">11.11 Taylor polynomials Points</t>
  </si>
  <si>
    <t xml:space="preserve">10.1 Parametric Equations</t>
  </si>
  <si>
    <t xml:space="preserve">10.2 Calculus with Parametric Curves</t>
  </si>
  <si>
    <t xml:space="preserve">A modest version of a curve</t>
  </si>
  <si>
    <r>
      <rPr>
        <sz val="11"/>
        <color theme="1"/>
        <rFont val="Calibri"/>
        <family val="2"/>
        <charset val="1"/>
      </rPr>
      <t xml:space="preserve">Raw grade </t>
    </r>
    <r>
      <rPr>
        <i val="true"/>
        <sz val="11"/>
        <color theme="1"/>
        <rFont val="Calibri"/>
        <family val="2"/>
        <charset val="1"/>
      </rPr>
      <t xml:space="preserve">now</t>
    </r>
  </si>
  <si>
    <t xml:space="preserve">&lt;-- This is the grade you have if you never turn in another assignment or take another exam.</t>
  </si>
  <si>
    <t xml:space="preserve">Projected grade</t>
  </si>
  <si>
    <t xml:space="preserve">&lt;-- This is the grade you will have if you score exactly as well on future assignments (in each category) as you have done so far.</t>
  </si>
  <si>
    <t xml:space="preserve">If all remaining grades are perfect</t>
  </si>
  <si>
    <t xml:space="preserve">&lt;-- This is the grade you can potentially earn by getting a 100 on every remaining assignment.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</si>
</sst>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9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3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true"/>
    </xf>
    <xf numFmtId="165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4" xfId="0" applyFont="false" applyBorder="true" applyAlignment="true" applyProtection="true">
      <alignment horizontal="general" vertical="bottom" textRotation="0" wrapText="true" indent="0" shrinkToFit="false"/>
      <protection locked="true" hidden="tru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0" fillId="0" borderId="11" xfId="0" applyFont="false" applyBorder="true" applyAlignment="true" applyProtection="true">
      <alignment horizontal="general" vertical="bottom" textRotation="0" wrapText="true" indent="0" shrinkToFit="false"/>
      <protection locked="true" hidden="true"/>
    </xf>
    <xf numFmtId="165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6" xfId="0" applyFont="false" applyBorder="true" applyAlignment="true" applyProtection="true">
      <alignment horizontal="general" vertical="bottom" textRotation="0" wrapText="true" indent="0" shrinkToFit="false"/>
      <protection locked="true" hidden="tru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8"/>
  <sheetViews>
    <sheetView showFormulas="false" showGridLines="true" showRowColHeaders="true" showZeros="true" rightToLeft="false" tabSelected="true" showOutlineSymbols="true" defaultGridColor="true" view="normal" topLeftCell="A1" colorId="64" zoomScale="152" zoomScaleNormal="152" zoomScalePageLayoutView="100" workbookViewId="0">
      <selection pane="topLeft" activeCell="C13" activeCellId="0" sqref="C13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15.29"/>
    <col collapsed="false" customWidth="true" hidden="false" outlineLevel="0" max="4" min="4" style="0" width="4"/>
    <col collapsed="false" customWidth="true" hidden="true" outlineLevel="0" max="5" min="5" style="0" width="10.29"/>
    <col collapsed="false" customWidth="true" hidden="true" outlineLevel="0" max="6" min="6" style="0" width="8"/>
    <col collapsed="false" customWidth="true" hidden="true" outlineLevel="0" max="7" min="7" style="0" width="18.86"/>
    <col collapsed="false" customWidth="true" hidden="false" outlineLevel="0" max="8" min="8" style="0" width="14.14"/>
    <col collapsed="false" customWidth="true" hidden="false" outlineLevel="0" max="9" min="9" style="0" width="46.42"/>
    <col collapsed="false" customWidth="true" hidden="false" outlineLevel="0" max="10" min="10" style="0" width="4"/>
    <col collapsed="false" customWidth="true" hidden="true" outlineLevel="0" max="11" min="11" style="0" width="10.29"/>
    <col collapsed="false" customWidth="true" hidden="true" outlineLevel="0" max="12" min="12" style="0" width="12.29"/>
    <col collapsed="false" customWidth="true" hidden="true" outlineLevel="0" max="13" min="13" style="0" width="18.86"/>
    <col collapsed="false" customWidth="true" hidden="false" outlineLevel="0" max="20" min="15" style="0" width="7.86"/>
    <col collapsed="false" customWidth="true" hidden="false" outlineLevel="0" max="21" min="21" style="0" width="10.4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C2" s="2"/>
      <c r="I2" s="3" t="s">
        <v>1</v>
      </c>
      <c r="J2" s="3"/>
      <c r="K2" s="0" t="s">
        <v>2</v>
      </c>
      <c r="L2" s="0" t="s">
        <v>3</v>
      </c>
      <c r="M2" s="0" t="s">
        <v>4</v>
      </c>
      <c r="N2" s="4"/>
      <c r="O2" s="5"/>
      <c r="P2" s="6" t="s">
        <v>5</v>
      </c>
      <c r="Q2" s="6"/>
      <c r="R2" s="6"/>
      <c r="S2" s="6"/>
      <c r="T2" s="6"/>
      <c r="U2" s="5"/>
      <c r="V2" s="5"/>
      <c r="W2" s="7"/>
      <c r="X2" s="7"/>
      <c r="Y2" s="7"/>
    </row>
    <row r="3" customFormat="false" ht="15" hidden="false" customHeight="false" outlineLevel="0" collapsed="false">
      <c r="C3" s="3" t="s">
        <v>6</v>
      </c>
      <c r="D3" s="3"/>
      <c r="E3" s="0" t="s">
        <v>2</v>
      </c>
      <c r="F3" s="0" t="s">
        <v>3</v>
      </c>
      <c r="G3" s="0" t="s">
        <v>4</v>
      </c>
      <c r="I3" s="8" t="s">
        <v>7</v>
      </c>
      <c r="J3" s="9" t="n">
        <v>100</v>
      </c>
      <c r="K3" s="0" t="n">
        <f aca="false">J3</f>
        <v>100</v>
      </c>
      <c r="L3" s="0" t="n">
        <f aca="false">IF(ISBLANK(J3),AVERAGE(J$4:J$30),J3)</f>
        <v>100</v>
      </c>
      <c r="M3" s="0" t="n">
        <f aca="false">IF(ISBLANK(J3),100,J3)</f>
        <v>100</v>
      </c>
      <c r="O3" s="2"/>
      <c r="P3" s="6"/>
      <c r="Q3" s="6"/>
      <c r="R3" s="6"/>
      <c r="S3" s="6"/>
      <c r="T3" s="6"/>
      <c r="U3" s="2"/>
      <c r="V3" s="2"/>
    </row>
    <row r="4" customFormat="false" ht="15" hidden="false" customHeight="false" outlineLevel="0" collapsed="false">
      <c r="C4" s="8" t="s">
        <v>8</v>
      </c>
      <c r="D4" s="10" t="s">
        <v>9</v>
      </c>
      <c r="I4" s="8" t="s">
        <v>10</v>
      </c>
      <c r="J4" s="9" t="n">
        <v>100</v>
      </c>
      <c r="K4" s="0" t="n">
        <f aca="false">J4</f>
        <v>100</v>
      </c>
      <c r="L4" s="0" t="n">
        <f aca="false">IF(ISBLANK(J4),AVERAGE(J$4:J$30),J4)</f>
        <v>100</v>
      </c>
      <c r="M4" s="0" t="n">
        <f aca="false">IF(ISBLANK(J4),100,J4)</f>
        <v>100</v>
      </c>
      <c r="O4" s="2"/>
      <c r="P4" s="6"/>
      <c r="Q4" s="6"/>
      <c r="R4" s="6"/>
      <c r="S4" s="6"/>
      <c r="T4" s="6"/>
      <c r="U4" s="2"/>
      <c r="V4" s="2"/>
    </row>
    <row r="5" customFormat="false" ht="15" hidden="false" customHeight="false" outlineLevel="0" collapsed="false">
      <c r="C5" s="8" t="s">
        <v>11</v>
      </c>
      <c r="D5" s="9" t="n">
        <v>97.5</v>
      </c>
      <c r="E5" s="0" t="n">
        <f aca="false">D5</f>
        <v>97.5</v>
      </c>
      <c r="F5" s="0" t="n">
        <f aca="false">IF(ISBLANK(D5),AVERAGE(D$5:D$9),D5)</f>
        <v>97.5</v>
      </c>
      <c r="G5" s="0" t="n">
        <f aca="false">IF(ISBLANK(D5),100,D5)</f>
        <v>97.5</v>
      </c>
      <c r="I5" s="8" t="s">
        <v>12</v>
      </c>
      <c r="J5" s="9" t="n">
        <v>100</v>
      </c>
      <c r="K5" s="0" t="n">
        <f aca="false">J5</f>
        <v>100</v>
      </c>
      <c r="L5" s="0" t="n">
        <f aca="false">IF(ISBLANK(J5),AVERAGE(J$4:J$30),J5)</f>
        <v>100</v>
      </c>
      <c r="M5" s="0" t="n">
        <f aca="false">IF(ISBLANK(J5),100,J5)</f>
        <v>100</v>
      </c>
      <c r="O5" s="2"/>
      <c r="P5" s="6"/>
      <c r="Q5" s="6"/>
      <c r="R5" s="6"/>
      <c r="S5" s="6"/>
      <c r="T5" s="6"/>
      <c r="U5" s="2"/>
      <c r="V5" s="2"/>
    </row>
    <row r="6" customFormat="false" ht="15" hidden="false" customHeight="false" outlineLevel="0" collapsed="false">
      <c r="C6" s="8" t="s">
        <v>13</v>
      </c>
      <c r="D6" s="9" t="n">
        <v>92.5</v>
      </c>
      <c r="E6" s="0" t="n">
        <f aca="false">D6</f>
        <v>92.5</v>
      </c>
      <c r="F6" s="0" t="n">
        <f aca="false">IF(ISBLANK(D6),AVERAGE(D$5:D$9),D6)</f>
        <v>92.5</v>
      </c>
      <c r="G6" s="0" t="n">
        <f aca="false">IF(ISBLANK(D6),100,D6)</f>
        <v>92.5</v>
      </c>
      <c r="I6" s="8" t="s">
        <v>14</v>
      </c>
      <c r="J6" s="9" t="n">
        <v>100</v>
      </c>
      <c r="K6" s="0" t="n">
        <f aca="false">J6</f>
        <v>100</v>
      </c>
      <c r="L6" s="0" t="n">
        <f aca="false">IF(ISBLANK(J6),AVERAGE(J$4:J$30),J6)</f>
        <v>100</v>
      </c>
      <c r="M6" s="0" t="n">
        <f aca="false">IF(ISBLANK(J6),100,J6)</f>
        <v>100</v>
      </c>
      <c r="O6" s="2"/>
      <c r="P6" s="6"/>
      <c r="Q6" s="6"/>
      <c r="R6" s="6"/>
      <c r="S6" s="6"/>
      <c r="T6" s="6"/>
      <c r="U6" s="2"/>
      <c r="V6" s="2"/>
    </row>
    <row r="7" customFormat="false" ht="15" hidden="false" customHeight="false" outlineLevel="0" collapsed="false">
      <c r="C7" s="8" t="s">
        <v>15</v>
      </c>
      <c r="D7" s="9" t="n">
        <v>100</v>
      </c>
      <c r="E7" s="0" t="n">
        <f aca="false">D7</f>
        <v>100</v>
      </c>
      <c r="F7" s="0" t="n">
        <f aca="false">IF(ISBLANK(D7),AVERAGE(D$5:D$9),D7)</f>
        <v>100</v>
      </c>
      <c r="G7" s="0" t="n">
        <f aca="false">IF(ISBLANK(D7),100,D7)</f>
        <v>100</v>
      </c>
      <c r="I7" s="8" t="s">
        <v>16</v>
      </c>
      <c r="J7" s="9" t="n">
        <v>100</v>
      </c>
      <c r="K7" s="0" t="n">
        <f aca="false">J7</f>
        <v>100</v>
      </c>
      <c r="L7" s="0" t="n">
        <f aca="false">IF(ISBLANK(J7),AVERAGE(J$4:J$30),J7)</f>
        <v>100</v>
      </c>
      <c r="M7" s="0" t="n">
        <f aca="false">IF(ISBLANK(J7),100,J7)</f>
        <v>100</v>
      </c>
      <c r="O7" s="2"/>
      <c r="P7" s="6"/>
      <c r="Q7" s="6"/>
      <c r="R7" s="6"/>
      <c r="S7" s="6"/>
      <c r="T7" s="6"/>
      <c r="U7" s="2"/>
      <c r="V7" s="2"/>
    </row>
    <row r="8" customFormat="false" ht="15" hidden="false" customHeight="false" outlineLevel="0" collapsed="false">
      <c r="C8" s="8" t="s">
        <v>17</v>
      </c>
      <c r="D8" s="9" t="n">
        <v>90</v>
      </c>
      <c r="E8" s="0" t="n">
        <f aca="false">D8</f>
        <v>90</v>
      </c>
      <c r="F8" s="0" t="n">
        <f aca="false">IF(ISBLANK(D8),AVERAGE(D$5:D$9),D8)</f>
        <v>90</v>
      </c>
      <c r="G8" s="0" t="n">
        <f aca="false">IF(ISBLANK(D8),100,D8)</f>
        <v>90</v>
      </c>
      <c r="I8" s="8" t="s">
        <v>18</v>
      </c>
      <c r="J8" s="9" t="n">
        <v>100</v>
      </c>
      <c r="K8" s="0" t="n">
        <f aca="false">J8</f>
        <v>100</v>
      </c>
      <c r="L8" s="0" t="n">
        <f aca="false">IF(ISBLANK(J8),AVERAGE(J$4:J$30),J8)</f>
        <v>100</v>
      </c>
      <c r="M8" s="0" t="n">
        <f aca="false">IF(ISBLANK(J8),100,J8)</f>
        <v>100</v>
      </c>
      <c r="O8" s="2"/>
      <c r="P8" s="6"/>
      <c r="Q8" s="6"/>
      <c r="R8" s="6"/>
      <c r="S8" s="6"/>
      <c r="T8" s="6"/>
      <c r="U8" s="2"/>
      <c r="V8" s="2"/>
    </row>
    <row r="9" customFormat="false" ht="15" hidden="false" customHeight="false" outlineLevel="0" collapsed="false">
      <c r="C9" s="11" t="s">
        <v>19</v>
      </c>
      <c r="D9" s="12" t="n">
        <v>90</v>
      </c>
      <c r="E9" s="0" t="n">
        <f aca="false">D9</f>
        <v>90</v>
      </c>
      <c r="F9" s="0" t="n">
        <f aca="false">IF(ISBLANK(D9),AVERAGE(D$5:D$9),D9)</f>
        <v>90</v>
      </c>
      <c r="G9" s="0" t="n">
        <f aca="false">IF(ISBLANK(D9),100,D9)</f>
        <v>90</v>
      </c>
      <c r="I9" s="8" t="s">
        <v>20</v>
      </c>
      <c r="J9" s="9" t="n">
        <v>100</v>
      </c>
      <c r="K9" s="0" t="n">
        <f aca="false">J9</f>
        <v>100</v>
      </c>
      <c r="L9" s="0" t="n">
        <f aca="false">IF(ISBLANK(J9),AVERAGE(J$4:J$30),J9)</f>
        <v>100</v>
      </c>
      <c r="M9" s="0" t="n">
        <f aca="false">IF(ISBLANK(J9),100,J9)</f>
        <v>100</v>
      </c>
      <c r="O9" s="2"/>
      <c r="P9" s="6"/>
      <c r="Q9" s="6"/>
      <c r="R9" s="6"/>
      <c r="S9" s="6"/>
      <c r="T9" s="6"/>
      <c r="U9" s="2"/>
      <c r="V9" s="2"/>
    </row>
    <row r="10" customFormat="false" ht="15" hidden="false" customHeight="false" outlineLevel="0" collapsed="false">
      <c r="C10" s="13"/>
      <c r="E10" s="0" t="n">
        <f aca="false">(SUM(E5:E9)-SMALL(E5:E9,1))/4</f>
        <v>95</v>
      </c>
      <c r="F10" s="0" t="n">
        <f aca="false">(SUM(F5:F9)-SMALL(F5:F9,1))/4</f>
        <v>95</v>
      </c>
      <c r="G10" s="0" t="n">
        <f aca="false">(SUM(G5:G9)-SMALL(G5:G9,1))/4</f>
        <v>95</v>
      </c>
      <c r="I10" s="8" t="s">
        <v>21</v>
      </c>
      <c r="J10" s="9" t="n">
        <v>100</v>
      </c>
      <c r="K10" s="0" t="n">
        <f aca="false">J10</f>
        <v>100</v>
      </c>
      <c r="L10" s="0" t="n">
        <f aca="false">IF(ISBLANK(J10),AVERAGE(J$4:J$30),J10)</f>
        <v>100</v>
      </c>
      <c r="M10" s="0" t="n">
        <f aca="false">IF(ISBLANK(J10),100,J10)</f>
        <v>100</v>
      </c>
      <c r="O10" s="2"/>
      <c r="P10" s="6"/>
      <c r="Q10" s="6"/>
      <c r="R10" s="6"/>
      <c r="S10" s="6"/>
      <c r="T10" s="6"/>
      <c r="U10" s="2"/>
      <c r="V10" s="2"/>
    </row>
    <row r="11" customFormat="false" ht="15" hidden="false" customHeight="false" outlineLevel="0" collapsed="false">
      <c r="I11" s="8" t="s">
        <v>22</v>
      </c>
      <c r="J11" s="9" t="n">
        <v>100</v>
      </c>
      <c r="K11" s="0" t="n">
        <f aca="false">J11</f>
        <v>100</v>
      </c>
      <c r="L11" s="0" t="n">
        <f aca="false">IF(ISBLANK(J11),AVERAGE(J$4:J$30),J11)</f>
        <v>100</v>
      </c>
      <c r="M11" s="0" t="n">
        <f aca="false">IF(ISBLANK(J11),100,J11)</f>
        <v>100</v>
      </c>
      <c r="O11" s="2"/>
      <c r="P11" s="6"/>
      <c r="Q11" s="6"/>
      <c r="R11" s="6"/>
      <c r="S11" s="6"/>
      <c r="T11" s="6"/>
      <c r="U11" s="2"/>
      <c r="V11" s="2"/>
    </row>
    <row r="12" customFormat="false" ht="15" hidden="false" customHeight="false" outlineLevel="0" collapsed="false">
      <c r="I12" s="8" t="s">
        <v>23</v>
      </c>
      <c r="J12" s="9" t="n">
        <v>100</v>
      </c>
      <c r="K12" s="0" t="n">
        <f aca="false">J12</f>
        <v>100</v>
      </c>
      <c r="L12" s="0" t="n">
        <f aca="false">IF(ISBLANK(J12),AVERAGE(J$4:J$30),J12)</f>
        <v>100</v>
      </c>
      <c r="M12" s="0" t="n">
        <f aca="false">IF(ISBLANK(J12),100,J12)</f>
        <v>100</v>
      </c>
      <c r="O12" s="2"/>
      <c r="P12" s="6"/>
      <c r="Q12" s="6"/>
      <c r="R12" s="6"/>
      <c r="S12" s="6"/>
      <c r="T12" s="6"/>
      <c r="U12" s="2"/>
      <c r="V12" s="2"/>
    </row>
    <row r="13" customFormat="false" ht="15" hidden="false" customHeight="false" outlineLevel="0" collapsed="false">
      <c r="I13" s="8" t="s">
        <v>24</v>
      </c>
      <c r="J13" s="9" t="n">
        <v>100</v>
      </c>
      <c r="K13" s="0" t="n">
        <f aca="false">J13</f>
        <v>100</v>
      </c>
      <c r="L13" s="0" t="n">
        <f aca="false">IF(ISBLANK(J13),AVERAGE(J$4:J$30),J13)</f>
        <v>100</v>
      </c>
      <c r="M13" s="0" t="n">
        <f aca="false">IF(ISBLANK(J13),100,J13)</f>
        <v>100</v>
      </c>
      <c r="P13" s="6"/>
      <c r="Q13" s="6"/>
      <c r="R13" s="6"/>
      <c r="S13" s="6"/>
      <c r="T13" s="6"/>
    </row>
    <row r="14" customFormat="false" ht="15" hidden="false" customHeight="false" outlineLevel="0" collapsed="false">
      <c r="I14" s="8" t="s">
        <v>25</v>
      </c>
      <c r="J14" s="9" t="n">
        <v>100</v>
      </c>
      <c r="K14" s="0" t="n">
        <f aca="false">J14</f>
        <v>100</v>
      </c>
      <c r="L14" s="0" t="n">
        <f aca="false">IF(ISBLANK(J14),AVERAGE(J$4:J$30),J14)</f>
        <v>100</v>
      </c>
      <c r="M14" s="0" t="n">
        <f aca="false">IF(ISBLANK(J14),100,J14)</f>
        <v>100</v>
      </c>
      <c r="P14" s="6"/>
      <c r="Q14" s="6"/>
      <c r="R14" s="6"/>
      <c r="S14" s="6"/>
      <c r="T14" s="6"/>
    </row>
    <row r="15" customFormat="false" ht="15" hidden="false" customHeight="false" outlineLevel="0" collapsed="false">
      <c r="I15" s="8" t="s">
        <v>26</v>
      </c>
      <c r="J15" s="9" t="n">
        <v>100</v>
      </c>
      <c r="K15" s="0" t="n">
        <f aca="false">J15</f>
        <v>100</v>
      </c>
      <c r="L15" s="0" t="n">
        <f aca="false">IF(ISBLANK(J15),AVERAGE(J$4:J$30),J15)</f>
        <v>100</v>
      </c>
      <c r="M15" s="0" t="n">
        <f aca="false">IF(ISBLANK(J15),100,J15)</f>
        <v>100</v>
      </c>
      <c r="P15" s="6"/>
      <c r="Q15" s="6"/>
      <c r="R15" s="6"/>
      <c r="S15" s="6"/>
      <c r="T15" s="6"/>
    </row>
    <row r="16" customFormat="false" ht="15" hidden="false" customHeight="false" outlineLevel="0" collapsed="false">
      <c r="I16" s="8" t="s">
        <v>27</v>
      </c>
      <c r="J16" s="9" t="n">
        <v>100</v>
      </c>
      <c r="K16" s="0" t="n">
        <f aca="false">J16</f>
        <v>100</v>
      </c>
      <c r="L16" s="0" t="n">
        <f aca="false">IF(ISBLANK(J16),AVERAGE(J$4:J$30),J16)</f>
        <v>100</v>
      </c>
      <c r="M16" s="0" t="n">
        <f aca="false">IF(ISBLANK(J16),100,J16)</f>
        <v>100</v>
      </c>
      <c r="P16" s="6"/>
      <c r="Q16" s="6"/>
      <c r="R16" s="6"/>
      <c r="S16" s="6"/>
      <c r="T16" s="6"/>
    </row>
    <row r="17" customFormat="false" ht="15" hidden="false" customHeight="false" outlineLevel="0" collapsed="false">
      <c r="I17" s="8" t="s">
        <v>28</v>
      </c>
      <c r="J17" s="9" t="n">
        <v>100</v>
      </c>
      <c r="K17" s="0" t="n">
        <f aca="false">J17</f>
        <v>100</v>
      </c>
      <c r="L17" s="0" t="n">
        <f aca="false">IF(ISBLANK(J17),AVERAGE(J$4:J$30),J17)</f>
        <v>100</v>
      </c>
      <c r="M17" s="0" t="n">
        <f aca="false">IF(ISBLANK(J17),100,J17)</f>
        <v>100</v>
      </c>
      <c r="P17" s="6"/>
      <c r="Q17" s="6"/>
      <c r="R17" s="6"/>
      <c r="S17" s="6"/>
      <c r="T17" s="6"/>
    </row>
    <row r="18" customFormat="false" ht="15" hidden="false" customHeight="false" outlineLevel="0" collapsed="false">
      <c r="I18" s="8" t="s">
        <v>29</v>
      </c>
      <c r="J18" s="9" t="n">
        <v>100</v>
      </c>
      <c r="K18" s="0" t="n">
        <f aca="false">J18</f>
        <v>100</v>
      </c>
      <c r="L18" s="0" t="n">
        <f aca="false">IF(ISBLANK(J18),AVERAGE(J$4:J$30),J18)</f>
        <v>100</v>
      </c>
      <c r="M18" s="0" t="n">
        <f aca="false">IF(ISBLANK(J18),100,J18)</f>
        <v>100</v>
      </c>
      <c r="P18" s="6"/>
      <c r="Q18" s="6"/>
      <c r="R18" s="6"/>
      <c r="S18" s="6"/>
      <c r="T18" s="6"/>
    </row>
    <row r="19" customFormat="false" ht="15" hidden="false" customHeight="false" outlineLevel="0" collapsed="false">
      <c r="I19" s="8" t="s">
        <v>30</v>
      </c>
      <c r="J19" s="9" t="n">
        <v>100</v>
      </c>
      <c r="K19" s="0" t="n">
        <f aca="false">J19</f>
        <v>100</v>
      </c>
      <c r="L19" s="0" t="n">
        <f aca="false">IF(ISBLANK(J19),AVERAGE(J$4:J$30),J19)</f>
        <v>100</v>
      </c>
      <c r="M19" s="0" t="n">
        <f aca="false">IF(ISBLANK(J19),100,J19)</f>
        <v>100</v>
      </c>
      <c r="P19" s="6"/>
      <c r="Q19" s="6"/>
      <c r="R19" s="6"/>
      <c r="S19" s="6"/>
      <c r="T19" s="6"/>
    </row>
    <row r="20" customFormat="false" ht="15" hidden="false" customHeight="false" outlineLevel="0" collapsed="false">
      <c r="I20" s="8" t="s">
        <v>31</v>
      </c>
      <c r="J20" s="9" t="n">
        <v>100</v>
      </c>
      <c r="K20" s="0" t="n">
        <f aca="false">J20</f>
        <v>100</v>
      </c>
      <c r="L20" s="0" t="n">
        <f aca="false">IF(ISBLANK(J20),AVERAGE(J$4:J$30),J20)</f>
        <v>100</v>
      </c>
      <c r="M20" s="0" t="n">
        <f aca="false">IF(ISBLANK(J20),100,J20)</f>
        <v>100</v>
      </c>
      <c r="P20" s="6"/>
      <c r="Q20" s="6"/>
      <c r="R20" s="6"/>
      <c r="S20" s="6"/>
      <c r="T20" s="6"/>
    </row>
    <row r="21" customFormat="false" ht="15" hidden="false" customHeight="false" outlineLevel="0" collapsed="false">
      <c r="I21" s="8" t="s">
        <v>32</v>
      </c>
      <c r="J21" s="9" t="n">
        <v>100</v>
      </c>
      <c r="K21" s="0" t="n">
        <f aca="false">J21</f>
        <v>100</v>
      </c>
      <c r="L21" s="0" t="n">
        <f aca="false">IF(ISBLANK(J21),AVERAGE(J$4:J$30),J21)</f>
        <v>100</v>
      </c>
      <c r="M21" s="0" t="n">
        <f aca="false">IF(ISBLANK(J21),100,J21)</f>
        <v>100</v>
      </c>
    </row>
    <row r="22" customFormat="false" ht="15" hidden="false" customHeight="false" outlineLevel="0" collapsed="false">
      <c r="I22" s="8" t="s">
        <v>33</v>
      </c>
      <c r="J22" s="9" t="n">
        <v>100</v>
      </c>
      <c r="K22" s="0" t="n">
        <f aca="false">J22</f>
        <v>100</v>
      </c>
      <c r="L22" s="0" t="n">
        <f aca="false">IF(ISBLANK(J22),AVERAGE(J$4:J$30),J22)</f>
        <v>100</v>
      </c>
      <c r="M22" s="0" t="n">
        <f aca="false">IF(ISBLANK(J22),100,J22)</f>
        <v>100</v>
      </c>
    </row>
    <row r="23" customFormat="false" ht="15" hidden="false" customHeight="false" outlineLevel="0" collapsed="false">
      <c r="C23" s="3" t="s">
        <v>34</v>
      </c>
      <c r="D23" s="3"/>
      <c r="E23" s="0" t="s">
        <v>2</v>
      </c>
      <c r="F23" s="0" t="s">
        <v>3</v>
      </c>
      <c r="G23" s="0" t="s">
        <v>4</v>
      </c>
      <c r="I23" s="8" t="s">
        <v>35</v>
      </c>
      <c r="J23" s="9" t="n">
        <v>95</v>
      </c>
      <c r="K23" s="0" t="n">
        <f aca="false">J23</f>
        <v>95</v>
      </c>
      <c r="L23" s="0" t="n">
        <f aca="false">IF(ISBLANK(J23),AVERAGE(J$4:J$30),J23)</f>
        <v>95</v>
      </c>
      <c r="M23" s="0" t="n">
        <f aca="false">IF(ISBLANK(J23),100,J23)</f>
        <v>95</v>
      </c>
    </row>
    <row r="24" customFormat="false" ht="15" hidden="false" customHeight="false" outlineLevel="0" collapsed="false">
      <c r="C24" s="8" t="s">
        <v>36</v>
      </c>
      <c r="D24" s="9" t="n">
        <v>73</v>
      </c>
      <c r="E24" s="0" t="n">
        <f aca="false">D24</f>
        <v>73</v>
      </c>
      <c r="F24" s="0" t="n">
        <f aca="false">D24</f>
        <v>73</v>
      </c>
      <c r="G24" s="0" t="n">
        <f aca="false">IF(ISBLANK(D24),100,D24)</f>
        <v>73</v>
      </c>
      <c r="I24" s="8" t="s">
        <v>37</v>
      </c>
      <c r="J24" s="9" t="n">
        <v>95</v>
      </c>
      <c r="K24" s="0" t="n">
        <f aca="false">J24</f>
        <v>95</v>
      </c>
      <c r="L24" s="0" t="n">
        <f aca="false">IF(ISBLANK(J24),AVERAGE(J$4:J$30),J24)</f>
        <v>95</v>
      </c>
      <c r="M24" s="0" t="n">
        <f aca="false">IF(ISBLANK(J24),100,J24)</f>
        <v>95</v>
      </c>
    </row>
    <row r="25" customFormat="false" ht="15" hidden="false" customHeight="false" outlineLevel="0" collapsed="false">
      <c r="C25" s="8" t="s">
        <v>38</v>
      </c>
      <c r="D25" s="9" t="n">
        <v>52</v>
      </c>
      <c r="E25" s="0" t="n">
        <f aca="false">D25</f>
        <v>52</v>
      </c>
      <c r="F25" s="0" t="n">
        <f aca="false">IF(ISBLANK(D25),D24,D25)</f>
        <v>52</v>
      </c>
      <c r="G25" s="0" t="n">
        <f aca="false">IF(ISBLANK(D25),100,D25)</f>
        <v>52</v>
      </c>
      <c r="I25" s="8" t="s">
        <v>39</v>
      </c>
      <c r="J25" s="9" t="n">
        <v>95</v>
      </c>
      <c r="K25" s="0" t="n">
        <f aca="false">J25</f>
        <v>95</v>
      </c>
      <c r="L25" s="0" t="n">
        <f aca="false">IF(ISBLANK(J25),AVERAGE(J$4:J$30),J25)</f>
        <v>95</v>
      </c>
      <c r="M25" s="0" t="n">
        <f aca="false">IF(ISBLANK(J25),100,J25)</f>
        <v>95</v>
      </c>
    </row>
    <row r="26" customFormat="false" ht="15" hidden="false" customHeight="false" outlineLevel="0" collapsed="false">
      <c r="C26" s="11" t="s">
        <v>40</v>
      </c>
      <c r="D26" s="12" t="n">
        <v>90</v>
      </c>
      <c r="E26" s="0" t="n">
        <f aca="false">D26</f>
        <v>90</v>
      </c>
      <c r="F26" s="0" t="n">
        <f aca="false">AVERAGE(F24:F25)</f>
        <v>62.5</v>
      </c>
      <c r="G26" s="0" t="n">
        <f aca="false">IF(ISBLANK(D26),100,D26)</f>
        <v>90</v>
      </c>
      <c r="I26" s="8" t="s">
        <v>41</v>
      </c>
      <c r="J26" s="9" t="n">
        <v>95</v>
      </c>
      <c r="K26" s="0" t="n">
        <f aca="false">J26</f>
        <v>95</v>
      </c>
      <c r="L26" s="0" t="n">
        <f aca="false">IF(ISBLANK(J26),AVERAGE(J$4:J$30),J26)</f>
        <v>95</v>
      </c>
      <c r="M26" s="0" t="n">
        <f aca="false">IF(ISBLANK(J26),100,J26)</f>
        <v>95</v>
      </c>
    </row>
    <row r="27" customFormat="false" ht="15" hidden="false" customHeight="false" outlineLevel="0" collapsed="false">
      <c r="E27" s="0" t="n">
        <f aca="false">MIN(E24:E25)</f>
        <v>52</v>
      </c>
      <c r="F27" s="0" t="n">
        <f aca="false">MIN(F24:F25)</f>
        <v>52</v>
      </c>
      <c r="G27" s="0" t="n">
        <f aca="false">MIN(G24:G25)</f>
        <v>52</v>
      </c>
      <c r="I27" s="8" t="s">
        <v>42</v>
      </c>
      <c r="J27" s="9" t="n">
        <v>95</v>
      </c>
      <c r="K27" s="0" t="n">
        <f aca="false">J27</f>
        <v>95</v>
      </c>
      <c r="L27" s="0" t="n">
        <f aca="false">IF(ISBLANK(J27),AVERAGE(J$4:J$30),J27)</f>
        <v>95</v>
      </c>
      <c r="M27" s="0" t="n">
        <f aca="false">IF(ISBLANK(J27),100,J27)</f>
        <v>95</v>
      </c>
    </row>
    <row r="28" customFormat="false" ht="15" hidden="false" customHeight="false" outlineLevel="0" collapsed="false">
      <c r="E28" s="0" t="n">
        <f aca="false">MAX(E24:E25)</f>
        <v>73</v>
      </c>
      <c r="F28" s="0" t="n">
        <f aca="false">MAX(F24:F25)</f>
        <v>73</v>
      </c>
      <c r="G28" s="0" t="n">
        <f aca="false">MAX(G24:G25)</f>
        <v>73</v>
      </c>
      <c r="I28" s="8" t="s">
        <v>43</v>
      </c>
      <c r="J28" s="9" t="n">
        <v>95</v>
      </c>
      <c r="K28" s="0" t="n">
        <f aca="false">J28</f>
        <v>95</v>
      </c>
      <c r="L28" s="0" t="n">
        <f aca="false">IF(ISBLANK(J28),AVERAGE(J$4:J$30),J28)</f>
        <v>95</v>
      </c>
      <c r="M28" s="0" t="n">
        <f aca="false">IF(ISBLANK(J28),100,J28)</f>
        <v>95</v>
      </c>
    </row>
    <row r="29" customFormat="false" ht="15" hidden="false" customHeight="false" outlineLevel="0" collapsed="false">
      <c r="E29" s="0" t="n">
        <f aca="false">MAX(E26,E27)</f>
        <v>90</v>
      </c>
      <c r="F29" s="0" t="n">
        <f aca="false">MAX(F26,F27)</f>
        <v>62.5</v>
      </c>
      <c r="G29" s="0" t="n">
        <f aca="false">MAX(G26,G27)</f>
        <v>90</v>
      </c>
      <c r="I29" s="8" t="s">
        <v>44</v>
      </c>
      <c r="J29" s="9" t="n">
        <v>95</v>
      </c>
      <c r="K29" s="0" t="n">
        <f aca="false">J29</f>
        <v>95</v>
      </c>
      <c r="L29" s="0" t="n">
        <f aca="false">IF(ISBLANK(J29),AVERAGE(J$4:J$30),J29)</f>
        <v>95</v>
      </c>
      <c r="M29" s="0" t="n">
        <f aca="false">IF(ISBLANK(J29),100,J29)</f>
        <v>95</v>
      </c>
    </row>
    <row r="30" customFormat="false" ht="15" hidden="false" customHeight="false" outlineLevel="0" collapsed="false">
      <c r="I30" s="11" t="s">
        <v>45</v>
      </c>
      <c r="J30" s="9" t="n">
        <v>95</v>
      </c>
      <c r="K30" s="0" t="n">
        <f aca="false">J30</f>
        <v>95</v>
      </c>
      <c r="L30" s="0" t="n">
        <f aca="false">IF(ISBLANK(J30),AVERAGE(J$4:J$30),J30)</f>
        <v>95</v>
      </c>
      <c r="M30" s="0" t="n">
        <f aca="false">IF(ISBLANK(J30),100,J30)</f>
        <v>95</v>
      </c>
    </row>
    <row r="31" customFormat="false" ht="15" hidden="false" customHeight="false" outlineLevel="0" collapsed="false">
      <c r="K31" s="0" t="n">
        <f aca="false">(SUM(K3:K30)-SMALL(K3:K30,1))/27</f>
        <v>98.7037037037037</v>
      </c>
      <c r="L31" s="0" t="n">
        <f aca="false">(SUM(L3:L30)-SMALL(L3:L30,1))/27</f>
        <v>98.7037037037037</v>
      </c>
      <c r="M31" s="0" t="n">
        <f aca="false">(SUM(M3:M30)-SMALL(M3:M30,1))/27</f>
        <v>98.7037037037037</v>
      </c>
    </row>
    <row r="33" customFormat="false" ht="15" hidden="false" customHeight="false" outlineLevel="0" collapsed="false">
      <c r="A33" s="14"/>
      <c r="B33" s="14"/>
      <c r="C33" s="14"/>
      <c r="D33" s="14"/>
      <c r="H33" s="14"/>
      <c r="I33" s="14"/>
      <c r="J33" s="14"/>
      <c r="K33" s="14"/>
      <c r="L33" s="14"/>
      <c r="M33" s="14"/>
    </row>
    <row r="34" customFormat="false" ht="15" hidden="false" customHeight="false" outlineLevel="0" collapsed="false">
      <c r="A34" s="15"/>
      <c r="B34" s="16"/>
      <c r="C34" s="16"/>
      <c r="D34" s="16"/>
      <c r="E34" s="16"/>
      <c r="F34" s="16"/>
      <c r="G34" s="16"/>
      <c r="H34" s="17" t="s">
        <v>46</v>
      </c>
      <c r="I34" s="17"/>
    </row>
    <row r="35" customFormat="false" ht="17.25" hidden="false" customHeight="true" outlineLevel="0" collapsed="false">
      <c r="A35" s="18" t="s">
        <v>47</v>
      </c>
      <c r="B35" s="18"/>
      <c r="C35" s="18"/>
      <c r="D35" s="19" t="n">
        <f aca="false">K31*0.1+E10*0.1+E29*0.25+E28*0.25+E26*0.3</f>
        <v>87.1203703703704</v>
      </c>
      <c r="E35" s="19" t="n">
        <f aca="false">K31*0.1+E10*0.1+E29*0.25+E28*0.25+E26*0.3</f>
        <v>87.1203703703704</v>
      </c>
      <c r="F35" s="20" t="str">
        <f aca="false">IF(E35&gt;=94,"A",IF(E35&gt;=90,"A-",IF(E35&gt;=87,"B+",IF(E35&gt;=83,"B",IF(E35&gt;=80,"B-",IF(E35&gt;=77,"C+",IF(E35&gt;=73,"C",IF(E35&gt;=70,"C-",IF(E35&gt;=65,"D+",IF(E35&gt;=60,"D","F"))))))))))</f>
        <v>B+</v>
      </c>
      <c r="G35" s="19"/>
      <c r="H35" s="21" t="n">
        <f aca="false">3.1498+0.9931687*E35</f>
        <v>89.6750249842593</v>
      </c>
      <c r="I35" s="22" t="str">
        <f aca="false">IF(H35&gt;=94,"A",IF(H35&gt;=90,"A-",IF(H35&gt;=87,"B+",IF(H35&gt;=83,"B",IF(H35&gt;=80,"B-",IF(H35&gt;=77,"C+",IF(H35&gt;=73,"C",IF(H35&gt;=70,"C-",IF(H35&gt;=65,"D+",IF(H35&gt;=60,"D","F"))))))))))</f>
        <v>B+</v>
      </c>
      <c r="L35" s="23"/>
      <c r="N35" s="0" t="s">
        <v>48</v>
      </c>
    </row>
    <row r="36" customFormat="false" ht="15" hidden="false" customHeight="true" outlineLevel="0" collapsed="false">
      <c r="A36" s="18" t="s">
        <v>49</v>
      </c>
      <c r="B36" s="18"/>
      <c r="C36" s="18"/>
      <c r="D36" s="19" t="n">
        <f aca="false">L31*0.1+F10*0.1+F29*0.25+F28*0.25+F26*0.3</f>
        <v>71.9953703703704</v>
      </c>
      <c r="E36" s="19" t="n">
        <f aca="false">L31*0.1+F10*0.1+F29*0.25+F28*0.25+F26*0.3</f>
        <v>71.9953703703704</v>
      </c>
      <c r="F36" s="20" t="str">
        <f aca="false">IF(E36&gt;=94,"A",IF(E36&gt;=90,"A-",IF(E36&gt;=87,"B+",IF(E36&gt;=83,"B",IF(E36&gt;=80,"B-",IF(E36&gt;=77,"C+",IF(E36&gt;=73,"C",IF(E36&gt;=70,"C-",IF(E36&gt;=65,"D+",IF(E36&gt;=60,"D","F"))))))))))</f>
        <v>C-</v>
      </c>
      <c r="G36" s="19"/>
      <c r="H36" s="21" t="n">
        <f aca="false">MIN(3.1498+0.9931687*E36,100)</f>
        <v>74.6533483967593</v>
      </c>
      <c r="I36" s="22" t="str">
        <f aca="false">IF(H36&gt;=94,"A",IF(H36&gt;=90,"A-",IF(H36&gt;=87,"B+",IF(H36&gt;=83,"B",IF(H36&gt;=80,"B-",IF(H36&gt;=77,"C+",IF(H36&gt;=73,"C",IF(H36&gt;=70,"C-",IF(H36&gt;=65,"D+",IF(H36&gt;=60,"D","F"))))))))))</f>
        <v>C</v>
      </c>
      <c r="L36" s="23"/>
      <c r="N36" s="0" t="s">
        <v>50</v>
      </c>
    </row>
    <row r="37" customFormat="false" ht="15" hidden="false" customHeight="true" outlineLevel="0" collapsed="false">
      <c r="A37" s="24" t="s">
        <v>51</v>
      </c>
      <c r="B37" s="24"/>
      <c r="C37" s="24"/>
      <c r="D37" s="25" t="n">
        <f aca="false">M31*0.1+G10*0.1+G29*0.25+G28*0.25+G26*0.3</f>
        <v>87.1203703703704</v>
      </c>
      <c r="E37" s="25" t="n">
        <f aca="false">M31*0.1+G10*0.1+G29*0.25+G28*0.25+G26*0.3</f>
        <v>87.1203703703704</v>
      </c>
      <c r="F37" s="26" t="str">
        <f aca="false">IF(E37&gt;=94,"A",IF(E37&gt;=90,"A-",IF(E37&gt;=87,"B+",IF(E37&gt;=83,"B",IF(E37&gt;=80,"B-",IF(E37&gt;=77,"C+",IF(E37&gt;=73,"C",IF(E37&gt;=70,"C-",IF(E37&gt;=65,"D+",IF(E37&gt;=60,"D","F"))))))))))</f>
        <v>B+</v>
      </c>
      <c r="G37" s="25"/>
      <c r="H37" s="27" t="n">
        <f aca="false">MIN(3.1498+0.9931687*E37,100)</f>
        <v>89.6750249842593</v>
      </c>
      <c r="I37" s="28" t="str">
        <f aca="false">IF(H37&gt;=94,"A",IF(H37&gt;=90,"A-",IF(H37&gt;=87,"B+",IF(H37&gt;=83,"B",IF(H37&gt;=80,"B-",IF(H37&gt;=77,"C+",IF(H37&gt;=73,"C",IF(H37&gt;=70,"C-",IF(H37&gt;=65,"D+",IF(H37&gt;=60,"D","F"))))))))))</f>
        <v>B+</v>
      </c>
      <c r="L37" s="23"/>
      <c r="N37" s="0" t="s">
        <v>52</v>
      </c>
    </row>
    <row r="38" customFormat="false" ht="15" hidden="false" customHeight="false" outlineLevel="0" collapsed="false">
      <c r="C38" s="29"/>
    </row>
  </sheetData>
  <sheetProtection algorithmName="SHA-512" hashValue="sRQYaTC5JrokpSbcygcLVGRmSFsciaZxFuDKAec6hkSbDt+dmvAUJBkq93tCto83zzDPwt4DA01VlgtowU0GoQ==" saltValue="9rI1A/cqpun2CU9xMgKYGQ==" spinCount="100000" sheet="true" objects="true" scenarios="true"/>
  <mergeCells count="9">
    <mergeCell ref="A1:N1"/>
    <mergeCell ref="I2:J2"/>
    <mergeCell ref="P2:T20"/>
    <mergeCell ref="C3:D3"/>
    <mergeCell ref="C23:D23"/>
    <mergeCell ref="H34:I34"/>
    <mergeCell ref="A35:C35"/>
    <mergeCell ref="A36:C36"/>
    <mergeCell ref="A37:C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2025-01-24T17:54:03Z</dcterms:created>
  <dc:creator>Alek Malcom</dc:creator>
  <dc:description/>
  <dc:language>en-US</dc:language>
  <cp:lastModifiedBy/>
  <dcterms:modified xsi:type="dcterms:W3CDTF">2026-04-16T22:21:07Z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